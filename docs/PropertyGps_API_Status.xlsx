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PropertyGpsApi\docs\"/>
    </mc:Choice>
  </mc:AlternateContent>
  <xr:revisionPtr revIDLastSave="0" documentId="13_ncr:1_{2386897D-D18D-4C32-AC65-1A3D4F3DC0A2}" xr6:coauthVersionLast="47" xr6:coauthVersionMax="47" xr10:uidLastSave="{00000000-0000-0000-0000-000000000000}"/>
  <bookViews>
    <workbookView xWindow="8796" yWindow="2856" windowWidth="7500" windowHeight="6000" xr2:uid="{04D883F3-EC5E-45B3-AA30-1BA42363E990}"/>
  </bookViews>
  <sheets>
    <sheet name="API Status" sheetId="1" r:id="rId1"/>
    <sheet name="Open Items" sheetId="2" r:id="rId2"/>
    <sheet name="Database Fixes" sheetId="3" r:id="rId3"/>
  </sheets>
  <definedNames>
    <definedName name="_xlnm._FilterDatabase" localSheetId="0" hidden="1">'API Status'!$A$4:$G$17</definedName>
    <definedName name="_xlnm._FilterDatabase" localSheetId="2" hidden="1">'Database Fixes'!$A$4:$E$13</definedName>
    <definedName name="_xlnm._FilterDatabase" localSheetId="1" hidden="1">'Open Items'!$A$4:$F$16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2" i="2" l="1"/>
  <c r="C21" i="2"/>
  <c r="C20" i="2"/>
  <c r="C19" i="2"/>
  <c r="C23" i="1"/>
  <c r="C22" i="1"/>
  <c r="C21" i="1"/>
  <c r="C20" i="1"/>
</calcChain>
</file>

<file path=xl/sharedStrings.xml><?xml version="1.0" encoding="utf-8"?>
<sst xmlns="http://schemas.openxmlformats.org/spreadsheetml/2006/main" count="208" uniqueCount="166">
  <si>
    <t>Property GPS - API and Stored Procedure Status</t>
  </si>
  <si>
    <t>Base path: v1/api/gbagps/singlesite/   |   Rows 1-9 follow BBMP's module list; rows 10-13 were built during app integration and were not on it.   |   Verified against UDD_KHATABTOA_TEST.</t>
  </si>
  <si>
    <t>S.No.</t>
  </si>
  <si>
    <t>Module</t>
  </si>
  <si>
    <t>Procedure / API</t>
  </si>
  <si>
    <t>Endpoint</t>
  </si>
  <si>
    <t>Status</t>
  </si>
  <si>
    <t>Detailed Description</t>
  </si>
  <si>
    <t>Notes / Open Issues</t>
  </si>
  <si>
    <t>Send OTP</t>
  </si>
  <si>
    <t>USP_S_ValidateOfficer
USP_I_OTP</t>
  </si>
  <si>
    <t>POST auth/otp/send</t>
  </si>
  <si>
    <t>Built &amp; tested</t>
  </si>
  <si>
    <t>Validates the officer, then generates and stores a one-time code. The API generates the code itself (cryptographic RNG, six digits) and passes it to USP_I_OTP; that procedure does not send the SMS, so an SMS gateway sits behind a seam.</t>
  </si>
  <si>
    <t>OTP length is returned in the response, so the app sizes its input from the server instead of assuming. Rate limited per IP. Ten BBMP test numbers receive fixed codes, so development needs no gateway.</t>
  </si>
  <si>
    <t>Validate OTP</t>
  </si>
  <si>
    <t>USP_S_Officer_ValidateOTP</t>
  </si>
  <si>
    <t>POST auth/otp/verify</t>
  </si>
  <si>
    <t>Validates the code and returns a JWT plus the officer's identity, corporation and jurisdictions. There is no separate sign-in call - this returns everything the app needs, so a second round trip was removed.</t>
  </si>
  <si>
    <t>OPEN (DBA): the procedure never marks a code consumed, so a valid OTP stays replayable for its full 100-minute window. Lockout after 4 failed attempts already lives in SQL and is not duplicated in the API.</t>
  </si>
  <si>
    <t>Fetch Applications</t>
  </si>
  <si>
    <t>USP_S_GetAppDetails
+ BtoA_Architect_AssignedApp
+ BtoA_OwnerDetails</t>
  </si>
  <si>
    <t>POST propertyinfo/fetch</t>
  </si>
  <si>
    <t>One ward's undelivered applications. A corner plot returns several rows for one application, so rows are grouped rather than allowed to duplicate. Current allotment and owner names are read alongside - one query each for the whole page, never one per property.</t>
  </si>
  <si>
    <t>OPEN (DBA, live only): the live copy has its ward-scope WHERE clause commented out, so it ignores zone and ward and returns every application on the server. Corrected script is in db/. Owners are not returned by the procedure at all and are read separately.</t>
  </si>
  <si>
    <t>Assign and Unassign</t>
  </si>
  <si>
    <t>USP_IU_Architect_AssignedApp</t>
  </si>
  <si>
    <t>POST propertyinfo/assign
POST propertyinfo/unassign</t>
  </si>
  <si>
    <t>Allot a property to the officer, or release one they hold. The same procedure serves both directions through its IsActive flag.</t>
  </si>
  <si>
    <t>The procedure allows two pending allotments per officer. The app now enforces the same limit (it previously allowed one), so an officer is told before the request goes out rather than after.</t>
  </si>
  <si>
    <t>Update Application Status</t>
  </si>
  <si>
    <t>USP_U_GpsPushedDetails
USP_I_GPS_Push_RequestResponse_Tran</t>
  </si>
  <si>
    <t>POST propertyinfo/push-status</t>
  </si>
  <si>
    <t>The device reporting which fetched applications it stored. Accepting one marks it delivered, which is how the server stops offering it again. Each item carries its own verdict, so one unknown application cannot make the device resend the whole batch.</t>
  </si>
  <si>
    <t>The procedure branches on exactly two status values; anything else falls through every branch and returns no result set at all, so the mapping is closed in the API rather than passed through from the client.</t>
  </si>
  <si>
    <t>Push Exception Log</t>
  </si>
  <si>
    <t>USP_I_BtoA_GPS_ApplicationWise_NotPushed_Tran</t>
  </si>
  <si>
    <t>(within push-status)</t>
  </si>
  <si>
    <t>Records application-wise failures reported by the device, so a record that never reaches the field is visible to someone without trawling logs.</t>
  </si>
  <si>
    <t>Audit writes are deliberately non-fatal: losing the log row must not fail the acknowledgement, or the device would send everything again.</t>
  </si>
  <si>
    <t>Mobile App Version Check</t>
  </si>
  <si>
    <t>None required</t>
  </si>
  <si>
    <t>GET app/latest-version</t>
  </si>
  <si>
    <t>Not started</t>
  </si>
  <si>
    <t>Compare the installed app version against the minimum supported version and prompt an update. No stored procedure is needed - these are configuration values.</t>
  </si>
  <si>
    <t>NEEDS DISCUSSION: where the supported version is held, and whether an out-of-date app is blocked or merely warned. The app already has the screen; only the endpoint is missing.</t>
  </si>
  <si>
    <t>Master Sync</t>
  </si>
  <si>
    <t>mst_AROMapping
USP_S_GetMasterStreetDetails</t>
  </si>
  <si>
    <t>GET masters/zones
GET masters/wards
GET masters/streets</t>
  </si>
  <si>
    <t>Partly built</t>
  </si>
  <si>
    <t>Zone, ward and street reference data for the pickers. Streets come from USP_S_GetMasterStreetDetails at Level 5 (Corporation + Zone + Ward).</t>
  </si>
  <si>
    <t>NEEDS DISCUSSION: which other masters the app must cache offline, and how it learns they have changed. Zones and wards read mst_AROMapping directly, because usp_s_GetZonesOrWardsByCorpId hardcodes a database name that fails on any copy.</t>
  </si>
  <si>
    <t>RI_JCON_to_Push</t>
  </si>
  <si>
    <t>USP_IU_BtoA_MainApp_Officer
USP_IU_BtoA_SiteRoadDetails_Officer
USP_IU_BtoA_StatusDetail_Officer</t>
  </si>
  <si>
    <t>POST propertyinfo/add-new</t>
  </si>
  <si>
    <t>The completed survey going back to BBMP. Multipart: the survey JSON plus its photographs. Writes the site record, one row per road and the status transition in a single transaction - all of it or none of it.</t>
  </si>
  <si>
    <t>Sets App_Status 13 (Data Received from RI), which USP_U_QC_TO_BTOA_SCH then picks up. Photographs are written before the transaction opens and are never rolled back: an orphaned file costs disk, a committed row pointing at a missing photo is destroyed evidence.</t>
  </si>
  <si>
    <t>Officer Identity</t>
  </si>
  <si>
    <t>mst_Officer + mst_AROMapping</t>
  </si>
  <si>
    <t>GET auth/me</t>
  </si>
  <si>
    <t>Who the bearer of a token is, and where they work. Derived from the token, never a parameter, and mints no new token.</t>
  </si>
  <si>
    <t>Added during app integration. The app keeps its session across restarts, but a token carries ids rather than names - without this an officer reopening the app was asked to sign in again while holding a valid token.</t>
  </si>
  <si>
    <t>Property History</t>
  </si>
  <si>
    <t>BtoA_MainApp_Officer (direct read)</t>
  </si>
  <si>
    <t>GET propertyinfo/history</t>
  </si>
  <si>
    <t>The surveys this officer has already submitted, for the History screen. Officer comes from the token, never the URL.</t>
  </si>
  <si>
    <t>Deliberately NOT USP_S_BtoA_GpsDashData_v1 Level 3: its filter reads 'Status_Id not in (11,200) AND Status_Id in (11,200)', which can never be true, so it returns no rows in any database. Worth raising - whatever screen uses it shows an empty list.</t>
  </si>
  <si>
    <t>Media Serving</t>
  </si>
  <si>
    <t>Filesystem (object store pending)</t>
  </si>
  <si>
    <t>GET propertyinfo/file/view/...</t>
  </si>
  <si>
    <t>Serves a stored survey photograph or note sheet. The route shape matches what production already stores in the document columns, so old and new URLs both resolve.</t>
  </si>
  <si>
    <t>PENDING: BBMP intend a separate object store ('skaliti'). Storage sits behind an interface, so that becomes a new driver plus a config value, not a rewrite. Reading is scoped to the officer's own zone or ward.</t>
  </si>
  <si>
    <t>Health Checks</t>
  </si>
  <si>
    <t>SELECT 1 against both databases</t>
  </si>
  <si>
    <t>GET health/live
GET health/ready</t>
  </si>
  <si>
    <t>Liveness, and readiness that round-trips both database connections so a broken connection string is visible without reading logs.</t>
  </si>
  <si>
    <t>Anonymous by design, so a monitor does not need a token.</t>
  </si>
  <si>
    <t>Summary</t>
  </si>
  <si>
    <t>Total endpoints</t>
  </si>
  <si>
    <t>Open Items - what is waiting on someone else</t>
  </si>
  <si>
    <t>Everything here is outside the API code itself. Items marked 'live' affect KhataBtoA_prod; the test database UDD_KHATABTOA_TEST already has the corrections applied.</t>
  </si>
  <si>
    <t>Owner</t>
  </si>
  <si>
    <t>Item</t>
  </si>
  <si>
    <t>Priority</t>
  </si>
  <si>
    <t>Why it matters</t>
  </si>
  <si>
    <t>Notes</t>
  </si>
  <si>
    <t>DBA - live</t>
  </si>
  <si>
    <t>Ward scope disabled on USP_S_GetAppDetails</t>
  </si>
  <si>
    <t>High</t>
  </si>
  <si>
    <t>The live copy has 'and md.MD_ZoneId=@zoneId and md.MD_WardId=@wardId and ap.IsPushedToGps=0' commented out, so it ignores zone and ward and returns every status-10 application on the server. An officer can currently see work outside their jurisdiction.</t>
  </si>
  <si>
    <t>Corrected script ready in db/. Needs a DBA to apply it to KhataBtoA_prod.</t>
  </si>
  <si>
    <t>OTP codes are never marked consumed</t>
  </si>
  <si>
    <t>USP_S_Officer_ValidateOTP validates a code but never updates OTP_Tran, so a valid OTP stays usable for its whole 100-minute window.</t>
  </si>
  <si>
    <t>Should mark the row inactive on first successful use.</t>
  </si>
  <si>
    <t>39 modules hardcode masterDB_prod as a three-part name</t>
  </si>
  <si>
    <t>Medium</t>
  </si>
  <si>
    <t>34 in KhataBtoA_prod and 5 inside masterDB_prod. They work on the live server but fail on any renamed or restored copy, which is why no isolated staging environment can be stood up today.</t>
  </si>
  <si>
    <t>More urgent than it looks: the databases are being renamed to UDD_* naming. If masterDB_prod is renamed, everything breaks at once.</t>
  </si>
  <si>
    <t>SCOPE_IDENTITY read after the wrong INSERT</t>
  </si>
  <si>
    <t>In USP_IU_BtoA_SiteRoadDetails_Officer, SCOPE_IDENTITY() is read after the BtoA_DocumentTran insert, so a private road returns the DOCUMENT id as RoadRowId. Any live caller using that value is pointed at the wrong row.</t>
  </si>
  <si>
    <t>Fixed in the test database. Present in KhataBtoA_prod too.</t>
  </si>
  <si>
    <t>USP_S_BtoA_GpsDashData_v1 Level 3 can never return a row</t>
  </si>
  <si>
    <t>Low</t>
  </si>
  <si>
    <t>Its filter reads 'Status_Id not in (11,200) AND Status_Id in (11,200)'. Whatever screen relies on that branch has been showing an empty list.</t>
  </si>
  <si>
    <t>Not blocking us - history is served by a direct read instead.</t>
  </si>
  <si>
    <t>BBMP - product</t>
  </si>
  <si>
    <t>Where do survey photographs live?</t>
  </si>
  <si>
    <t>The object store ('skaliti') has no endpoint, bucket or credentials yet. Storage is behind an interface with a working local-disk implementation, so the submit flow is complete and testable, but production needs the real driver.</t>
  </si>
  <si>
    <t>Also needs a decision on retention and access-audit obligations for photographic evidence.</t>
  </si>
  <si>
    <t>Status 25 and 30 (Rejected / Approved By RI)</t>
  </si>
  <si>
    <t>Defined in Mst_AppStatus but nothing writes them. Confirmed as reserved for a future flow.</t>
  </si>
  <si>
    <t>Recorded in code. The RI's recommendation currently rides on the status row as 10/11, not on App_Status.</t>
  </si>
  <si>
    <t>How does a QC return reach the officer?</t>
  </si>
  <si>
    <t>Mst_AppStatus defines 400 'Returned to RI From QC', but nothing sets it - returns are recorded as a status row with Status_Id 12 / RETURN_TO_RI (3,851 live rows). Those applications carry IsPushedToGps=1, so the ward fetch will never re-offer them.</t>
  </si>
  <si>
    <t>Needs a separate QC-updates endpoint, as the legacy app had. Not simply a wider fetch filter.</t>
  </si>
  <si>
    <t>BBMP - IT</t>
  </si>
  <si>
    <t>Least-privilege SQL login</t>
  </si>
  <si>
    <t>The API connects as 'sa', which is server-wide sysadmin. A dedicated login needs EXECUTE on the specific procedures and SELECT on mst_AROMapping only.</t>
  </si>
  <si>
    <t>Separately: the same credential sits in clear text in another project's committed config and should be rotated regardless of this project.</t>
  </si>
  <si>
    <t>Reverse proxy address for rate limiting</t>
  </si>
  <si>
    <t>Behind the proxy every request appears to come from one address, so the per-IP OTP rate limiter counts all of BBMP as a single client. X-Forwarded-For is honoured only from proxies named in configuration.</t>
  </si>
  <si>
    <t>Until Network:KnownProxies is set on the deployed instance, treat the OTP routes as unrate-limited. The app logs a warning at startup when this is unset.</t>
  </si>
  <si>
    <t>SMS gateway credentials</t>
  </si>
  <si>
    <t>Development is unblocked by ten fixed test numbers, but real Revenue Inspectors cannot do UAT without real SMS.</t>
  </si>
  <si>
    <t>Needed before UAT, not before development.</t>
  </si>
  <si>
    <t>Allotments per officer</t>
  </si>
  <si>
    <t>Closed</t>
  </si>
  <si>
    <t>Settled: two at a time, matching USP_IU_Architect_AssignedApp. The app previously allowed one and so refused work the server would have accepted.</t>
  </si>
  <si>
    <t>Closed 19 Sep. Remaining nuance: 'held' means allotted and pending, not allotted and unsynced.</t>
  </si>
  <si>
    <t>Open by priority</t>
  </si>
  <si>
    <t>Database Fixes applied to UDD_KHATABTOA_TEST</t>
  </si>
  <si>
    <t>That database is a half-finished rename of the schema (BtoA_ prefixes to Ofcr_), and the procedures and triggers were not updated to match. SQL Server defers name resolution, so each of these compiled cleanly and failed only when the affected branch ran. Every script carries a DB_NAME() guard and is applied to the test database only - none of these touch KhataBtoA_prod.</t>
  </si>
  <si>
    <t>Object</t>
  </si>
  <si>
    <t>Problem</t>
  </si>
  <si>
    <t>Script</t>
  </si>
  <si>
    <t>What it caused</t>
  </si>
  <si>
    <t>USP_IU_BtoA_SiteRoadDetails_Officer</t>
  </si>
  <si>
    <t>UPDATE branch targeted a table that does not exist</t>
  </si>
  <si>
    <t>db/10_udd_...sql</t>
  </si>
  <si>
    <t>Its UPDATE wrote to [Ofcr_SiteRoadDetails_Officer]; the table is BtoA_SiteRoadDetails_Officer. Every RESUBMISSION of a road threw - the retry path, the post-QC re-verification path and the officer-corrects-a-mistake path.</t>
  </si>
  <si>
    <t>Private roads failed on a renamed column</t>
  </si>
  <si>
    <t>The private-road path inserted docTrn_KRS_Id, renamed to docTrn_App_Id in this database, so EVERY private road failed even on a first submit.</t>
  </si>
  <si>
    <t>Two private roads overwrote each other</t>
  </si>
  <si>
    <t>Document writes were keyed on (application, doc type, identifier) with no road, so a property with two private roads kept only one notice. DocumentId now carries the road.</t>
  </si>
  <si>
    <t>RoadRowId returned the document's identity</t>
  </si>
  <si>
    <t>SCOPE_IDENTITY() was read after the document insert. Also present in KhataBtoA_prod - worth raising there.</t>
  </si>
  <si>
    <t>USP_IU_BtoA_StatusDetail_Officer</t>
  </si>
  <si>
    <t>No branch for role 116, so App_Status was set to NULL</t>
  </si>
  <si>
    <t>db/11_udd_...sql</t>
  </si>
  <si>
    <t>Status came from @CRole with branches for 117 and 118 only. The app signs in as 116, so nothing matched and the unconditional update blanked App_Status. The column is nullable, so this succeeded quietly and the application vanished from the worklist, push-status and QC. Added 116 -&gt; 13, plus a guard that now refuses to write a NULL status at all.</t>
  </si>
  <si>
    <t>Tr_BtoA_MainApp_Officer</t>
  </si>
  <si>
    <t>History trigger read five renamed columns</t>
  </si>
  <si>
    <t>db/14_udd_...sql</t>
  </si>
  <si>
    <t>Read from the 'deleted' pseudo-table using pre-rename names, so ANY update to BtoA_MainApp_Officer failed - including the legacy procedure's own update branch.</t>
  </si>
  <si>
    <t>Tr_BtoA_StatusDetail_Officer / Ofcr_StatusRowId_HistId</t>
  </si>
  <si>
    <t>Status history triggers read renamed and dropped columns</t>
  </si>
  <si>
    <t>db/15_udd_...sql</t>
  </si>
  <si>
    <t>Four renamed and three dropped columns, so the deactivate-then-insert in the status procedure failed on the SECOND submit for a property. Note both triggers write the same history table on the same event, so every update writes two rows - present in live too, and looks unintended.</t>
  </si>
  <si>
    <t>Schema additions</t>
  </si>
  <si>
    <t>Six columns the app collects had nowhere to go</t>
  </si>
  <si>
    <t>db/12_udd_...sql</t>
  </si>
  <si>
    <t>Served-notice photo per road; property photo, map screenshot, note sheet and govtPropertyDetails at application level; and a nullable int for isGovtProperty, because the existing bit cannot hold the app's third answer ('refer to surveyor') or 'not answered'. All additive and nullable.</t>
  </si>
  <si>
    <t>USP_U_BtoA_GpsSubmitExtras_App / ...RoadNoticeDocument</t>
  </si>
  <si>
    <t>New, owned by this API</t>
  </si>
  <si>
    <t>db/13_udd_...sql</t>
  </si>
  <si>
    <t>Writes the columns above. Kept separate from the legacy procedures because those are also called by the JC portal and the QC workflow, so every change to them is a change to someone else's write path.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</si>
</sst>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1"/>
      <color theme="1"/>
      <name val="Arial"/>
      <family val="2"/>
    </font>
    <font>
      <b/>
      <sz val="14"/>
      <color rgb="FF1F4E78"/>
      <name val="Arial"/>
      <family val="2"/>
    </font>
    <font>
      <i/>
      <sz val="9"/>
      <color rgb="FF595959"/>
      <name val="Arial"/>
      <family val="2"/>
    </font>
    <font>
      <b/>
      <sz val="11"/>
      <color theme="1"/>
      <name val="Arial"/>
      <family val="2"/>
    </font>
    <font>
      <b/>
      <sz val="11"/>
      <color rgb="FFFFFFFF"/>
      <name val="Arial"/>
      <family val="2"/>
    </font>
    <font>
      <sz val="10"/>
      <color theme="1"/>
      <name val="Arial"/>
      <family val="2"/>
    </font>
    <font>
      <b/>
      <sz val="10"/>
      <color theme="1"/>
      <name val="Arial"/>
      <family val="2"/>
    </font>
    <font>
      <b/>
      <sz val="10"/>
      <color rgb="FF333123"/>
      <name val="Arial"/>
      <family val="2"/>
    </font>
    <font>
      <b/>
      <sz val="10"/>
      <color rgb="FF0A0A00"/>
      <name val="Arial"/>
      <family val="2"/>
    </font>
    <font>
      <b/>
      <sz val="10"/>
      <color rgb="FF7F6000"/>
      <name val="Arial"/>
      <family val="2"/>
    </font>
    <font>
      <b/>
      <sz val="11"/>
      <color rgb="FF1F4E78"/>
      <name val="Arial"/>
      <family val="2"/>
    </font>
  </fonts>
  <fills count="6">
    <fill>
      <patternFill patternType="none"/>
    </fill>
    <fill>
      <patternFill patternType="gray125"/>
    </fill>
    <fill>
      <patternFill patternType="solid">
        <fgColor rgb="FF1F4E78"/>
        <bgColor indexed="64"/>
      </patternFill>
    </fill>
    <fill>
      <patternFill patternType="solid">
        <fgColor rgb="FFE2EFDA"/>
        <bgColor indexed="64"/>
      </patternFill>
    </fill>
    <fill>
      <patternFill patternType="solid">
        <fgColor rgb="FFDDE1E4"/>
        <bgColor indexed="64"/>
      </patternFill>
    </fill>
    <fill>
      <patternFill patternType="solid">
        <fgColor rgb="FFFFF2CC"/>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4">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2" borderId="0" xfId="0" applyFont="1" applyFill="1" applyAlignment="1">
      <alignment horizontal="center" vertical="center"/>
    </xf>
    <xf numFmtId="0" fontId="6" fillId="0" borderId="1" xfId="0" applyFont="1" applyBorder="1" applyAlignment="1">
      <alignment vertical="top" wrapText="1"/>
    </xf>
    <xf numFmtId="0" fontId="6" fillId="0" borderId="1" xfId="0" applyFont="1" applyBorder="1" applyAlignment="1">
      <alignment horizontal="center" vertical="top" wrapText="1"/>
    </xf>
    <xf numFmtId="0" fontId="7" fillId="0" borderId="1" xfId="0" applyFont="1" applyBorder="1" applyAlignment="1">
      <alignment vertical="top" wrapText="1"/>
    </xf>
    <xf numFmtId="0" fontId="8" fillId="3" borderId="1" xfId="0" applyFont="1" applyFill="1" applyBorder="1" applyAlignment="1">
      <alignment horizontal="center" vertical="top" wrapText="1"/>
    </xf>
    <xf numFmtId="0" fontId="9" fillId="4" borderId="1" xfId="0" applyFont="1" applyFill="1" applyBorder="1" applyAlignment="1">
      <alignment horizontal="center" vertical="top" wrapText="1"/>
    </xf>
    <xf numFmtId="0" fontId="10" fillId="5" borderId="1" xfId="0" applyFont="1" applyFill="1" applyBorder="1" applyAlignment="1">
      <alignment horizontal="center" vertical="top" wrapText="1"/>
    </xf>
    <xf numFmtId="0" fontId="11" fillId="0" borderId="0" xfId="0" applyFont="1"/>
    <xf numFmtId="0" fontId="7" fillId="0" borderId="1" xfId="0"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A9B8B-7B2F-4AC5-96CB-133B07E296D3}">
  <dimension ref="A1:G23"/>
  <sheetViews>
    <sheetView tabSelected="1" workbookViewId="0">
      <pane ySplit="4" topLeftCell="A5" activePane="bottomLeft" state="frozen"/>
      <selection pane="bottomLeft" activeCell="A5" sqref="A5"/>
    </sheetView>
  </sheetViews>
  <sheetFormatPr defaultRowHeight="14.4" x14ac:dyDescent="0.3"/>
  <cols>
    <col min="1" max="1" width="6.77734375" customWidth="1"/>
    <col min="2" max="2" width="22.77734375" customWidth="1"/>
    <col min="3" max="3" width="34.77734375" customWidth="1"/>
    <col min="4" max="4" width="26.77734375" customWidth="1"/>
    <col min="5" max="5" width="14.77734375" customWidth="1"/>
    <col min="6" max="7" width="62.77734375" customWidth="1"/>
  </cols>
  <sheetData>
    <row r="1" spans="1:7" ht="17.399999999999999" x14ac:dyDescent="0.3">
      <c r="A1" s="2" t="s">
        <v>0</v>
      </c>
    </row>
    <row r="2" spans="1:7" x14ac:dyDescent="0.3">
      <c r="A2" s="3" t="s">
        <v>1</v>
      </c>
    </row>
    <row r="4" spans="1:7" ht="30" customHeight="1" x14ac:dyDescent="0.3">
      <c r="A4" s="5" t="s">
        <v>2</v>
      </c>
      <c r="B4" s="5" t="s">
        <v>3</v>
      </c>
      <c r="C4" s="5" t="s">
        <v>4</v>
      </c>
      <c r="D4" s="5" t="s">
        <v>5</v>
      </c>
      <c r="E4" s="5" t="s">
        <v>6</v>
      </c>
      <c r="F4" s="5" t="s">
        <v>7</v>
      </c>
      <c r="G4" s="5" t="s">
        <v>8</v>
      </c>
    </row>
    <row r="5" spans="1:7" ht="85.95" customHeight="1" x14ac:dyDescent="0.3">
      <c r="A5" s="7">
        <v>1</v>
      </c>
      <c r="B5" s="8" t="s">
        <v>9</v>
      </c>
      <c r="C5" s="6" t="s">
        <v>10</v>
      </c>
      <c r="D5" s="6" t="s">
        <v>11</v>
      </c>
      <c r="E5" s="9" t="s">
        <v>12</v>
      </c>
      <c r="F5" s="6" t="s">
        <v>13</v>
      </c>
      <c r="G5" s="6" t="s">
        <v>14</v>
      </c>
    </row>
    <row r="6" spans="1:7" ht="85.95" customHeight="1" x14ac:dyDescent="0.3">
      <c r="A6" s="7">
        <v>2</v>
      </c>
      <c r="B6" s="8" t="s">
        <v>15</v>
      </c>
      <c r="C6" s="6" t="s">
        <v>16</v>
      </c>
      <c r="D6" s="6" t="s">
        <v>17</v>
      </c>
      <c r="E6" s="9" t="s">
        <v>12</v>
      </c>
      <c r="F6" s="6" t="s">
        <v>18</v>
      </c>
      <c r="G6" s="6" t="s">
        <v>19</v>
      </c>
    </row>
    <row r="7" spans="1:7" ht="85.95" customHeight="1" x14ac:dyDescent="0.3">
      <c r="A7" s="7">
        <v>3</v>
      </c>
      <c r="B7" s="8" t="s">
        <v>20</v>
      </c>
      <c r="C7" s="6" t="s">
        <v>21</v>
      </c>
      <c r="D7" s="6" t="s">
        <v>22</v>
      </c>
      <c r="E7" s="9" t="s">
        <v>12</v>
      </c>
      <c r="F7" s="6" t="s">
        <v>23</v>
      </c>
      <c r="G7" s="6" t="s">
        <v>24</v>
      </c>
    </row>
    <row r="8" spans="1:7" ht="85.95" customHeight="1" x14ac:dyDescent="0.3">
      <c r="A8" s="7">
        <v>4</v>
      </c>
      <c r="B8" s="8" t="s">
        <v>25</v>
      </c>
      <c r="C8" s="6" t="s">
        <v>26</v>
      </c>
      <c r="D8" s="6" t="s">
        <v>27</v>
      </c>
      <c r="E8" s="9" t="s">
        <v>12</v>
      </c>
      <c r="F8" s="6" t="s">
        <v>28</v>
      </c>
      <c r="G8" s="6" t="s">
        <v>29</v>
      </c>
    </row>
    <row r="9" spans="1:7" ht="85.95" customHeight="1" x14ac:dyDescent="0.3">
      <c r="A9" s="7">
        <v>5</v>
      </c>
      <c r="B9" s="8" t="s">
        <v>30</v>
      </c>
      <c r="C9" s="6" t="s">
        <v>31</v>
      </c>
      <c r="D9" s="6" t="s">
        <v>32</v>
      </c>
      <c r="E9" s="9" t="s">
        <v>12</v>
      </c>
      <c r="F9" s="6" t="s">
        <v>33</v>
      </c>
      <c r="G9" s="6" t="s">
        <v>34</v>
      </c>
    </row>
    <row r="10" spans="1:7" ht="85.95" customHeight="1" x14ac:dyDescent="0.3">
      <c r="A10" s="7">
        <v>6</v>
      </c>
      <c r="B10" s="8" t="s">
        <v>35</v>
      </c>
      <c r="C10" s="6" t="s">
        <v>36</v>
      </c>
      <c r="D10" s="6" t="s">
        <v>37</v>
      </c>
      <c r="E10" s="9" t="s">
        <v>12</v>
      </c>
      <c r="F10" s="6" t="s">
        <v>38</v>
      </c>
      <c r="G10" s="6" t="s">
        <v>39</v>
      </c>
    </row>
    <row r="11" spans="1:7" ht="85.95" customHeight="1" x14ac:dyDescent="0.3">
      <c r="A11" s="7">
        <v>7</v>
      </c>
      <c r="B11" s="8" t="s">
        <v>40</v>
      </c>
      <c r="C11" s="6" t="s">
        <v>41</v>
      </c>
      <c r="D11" s="6" t="s">
        <v>42</v>
      </c>
      <c r="E11" s="10" t="s">
        <v>43</v>
      </c>
      <c r="F11" s="6" t="s">
        <v>44</v>
      </c>
      <c r="G11" s="6" t="s">
        <v>45</v>
      </c>
    </row>
    <row r="12" spans="1:7" ht="85.95" customHeight="1" x14ac:dyDescent="0.3">
      <c r="A12" s="7">
        <v>8</v>
      </c>
      <c r="B12" s="8" t="s">
        <v>46</v>
      </c>
      <c r="C12" s="6" t="s">
        <v>47</v>
      </c>
      <c r="D12" s="6" t="s">
        <v>48</v>
      </c>
      <c r="E12" s="11" t="s">
        <v>49</v>
      </c>
      <c r="F12" s="6" t="s">
        <v>50</v>
      </c>
      <c r="G12" s="6" t="s">
        <v>51</v>
      </c>
    </row>
    <row r="13" spans="1:7" ht="85.95" customHeight="1" x14ac:dyDescent="0.3">
      <c r="A13" s="7">
        <v>9</v>
      </c>
      <c r="B13" s="8" t="s">
        <v>52</v>
      </c>
      <c r="C13" s="6" t="s">
        <v>53</v>
      </c>
      <c r="D13" s="6" t="s">
        <v>54</v>
      </c>
      <c r="E13" s="9" t="s">
        <v>12</v>
      </c>
      <c r="F13" s="6" t="s">
        <v>55</v>
      </c>
      <c r="G13" s="6" t="s">
        <v>56</v>
      </c>
    </row>
    <row r="14" spans="1:7" ht="85.95" customHeight="1" x14ac:dyDescent="0.3">
      <c r="A14" s="7">
        <v>10</v>
      </c>
      <c r="B14" s="8" t="s">
        <v>57</v>
      </c>
      <c r="C14" s="6" t="s">
        <v>58</v>
      </c>
      <c r="D14" s="6" t="s">
        <v>59</v>
      </c>
      <c r="E14" s="9" t="s">
        <v>12</v>
      </c>
      <c r="F14" s="6" t="s">
        <v>60</v>
      </c>
      <c r="G14" s="6" t="s">
        <v>61</v>
      </c>
    </row>
    <row r="15" spans="1:7" ht="85.95" customHeight="1" x14ac:dyDescent="0.3">
      <c r="A15" s="7">
        <v>11</v>
      </c>
      <c r="B15" s="8" t="s">
        <v>62</v>
      </c>
      <c r="C15" s="6" t="s">
        <v>63</v>
      </c>
      <c r="D15" s="6" t="s">
        <v>64</v>
      </c>
      <c r="E15" s="9" t="s">
        <v>12</v>
      </c>
      <c r="F15" s="6" t="s">
        <v>65</v>
      </c>
      <c r="G15" s="6" t="s">
        <v>66</v>
      </c>
    </row>
    <row r="16" spans="1:7" ht="85.95" customHeight="1" x14ac:dyDescent="0.3">
      <c r="A16" s="7">
        <v>12</v>
      </c>
      <c r="B16" s="8" t="s">
        <v>67</v>
      </c>
      <c r="C16" s="6" t="s">
        <v>68</v>
      </c>
      <c r="D16" s="6" t="s">
        <v>69</v>
      </c>
      <c r="E16" s="9" t="s">
        <v>12</v>
      </c>
      <c r="F16" s="6" t="s">
        <v>70</v>
      </c>
      <c r="G16" s="6" t="s">
        <v>71</v>
      </c>
    </row>
    <row r="17" spans="1:7" ht="85.95" customHeight="1" x14ac:dyDescent="0.3">
      <c r="A17" s="7">
        <v>13</v>
      </c>
      <c r="B17" s="8" t="s">
        <v>72</v>
      </c>
      <c r="C17" s="6" t="s">
        <v>73</v>
      </c>
      <c r="D17" s="6" t="s">
        <v>74</v>
      </c>
      <c r="E17" s="9" t="s">
        <v>12</v>
      </c>
      <c r="F17" s="6" t="s">
        <v>75</v>
      </c>
      <c r="G17" s="6" t="s">
        <v>76</v>
      </c>
    </row>
    <row r="19" spans="1:7" x14ac:dyDescent="0.3">
      <c r="B19" s="12" t="s">
        <v>77</v>
      </c>
    </row>
    <row r="20" spans="1:7" x14ac:dyDescent="0.3">
      <c r="B20" s="1" t="s">
        <v>12</v>
      </c>
      <c r="C20" s="4">
        <f>COUNTIF($E$5:$E$17,"Built &amp; tested")</f>
        <v>11</v>
      </c>
    </row>
    <row r="21" spans="1:7" x14ac:dyDescent="0.3">
      <c r="B21" s="1" t="s">
        <v>49</v>
      </c>
      <c r="C21" s="4">
        <f>COUNTIF($E$5:$E$17,"Partly built")</f>
        <v>1</v>
      </c>
    </row>
    <row r="22" spans="1:7" x14ac:dyDescent="0.3">
      <c r="B22" s="1" t="s">
        <v>43</v>
      </c>
      <c r="C22" s="4">
        <f>COUNTIF($E$5:$E$17,"Not started")</f>
        <v>1</v>
      </c>
    </row>
    <row r="23" spans="1:7" x14ac:dyDescent="0.3">
      <c r="B23" s="4" t="s">
        <v>78</v>
      </c>
      <c r="C23" s="4">
        <f>COUNTA($B$5:$B$17)</f>
        <v>13</v>
      </c>
    </row>
  </sheetData>
  <autoFilter ref="A4:G17" xr:uid="{FA5A9B8B-7B2F-4AC5-96CB-133B07E296D3}"/>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81395-1545-4B5D-AB4A-365B3CD46827}">
  <dimension ref="A1:F22"/>
  <sheetViews>
    <sheetView workbookViewId="0"/>
  </sheetViews>
  <sheetFormatPr defaultRowHeight="14.4" x14ac:dyDescent="0.3"/>
  <cols>
    <col min="1" max="1" width="6.77734375" customWidth="1"/>
    <col min="2" max="2" width="16.77734375" customWidth="1"/>
    <col min="3" max="3" width="42.77734375" customWidth="1"/>
    <col min="4" max="4" width="11.77734375" customWidth="1"/>
    <col min="5" max="5" width="74.77734375" customWidth="1"/>
    <col min="6" max="6" width="62.77734375" customWidth="1"/>
  </cols>
  <sheetData>
    <row r="1" spans="1:6" ht="17.399999999999999" x14ac:dyDescent="0.3">
      <c r="A1" s="2" t="s">
        <v>79</v>
      </c>
    </row>
    <row r="2" spans="1:6" x14ac:dyDescent="0.3">
      <c r="A2" s="3" t="s">
        <v>80</v>
      </c>
    </row>
    <row r="4" spans="1:6" ht="30" customHeight="1" x14ac:dyDescent="0.3">
      <c r="A4" s="5" t="s">
        <v>2</v>
      </c>
      <c r="B4" s="5" t="s">
        <v>81</v>
      </c>
      <c r="C4" s="5" t="s">
        <v>82</v>
      </c>
      <c r="D4" s="5" t="s">
        <v>83</v>
      </c>
      <c r="E4" s="5" t="s">
        <v>84</v>
      </c>
      <c r="F4" s="5" t="s">
        <v>85</v>
      </c>
    </row>
    <row r="5" spans="1:6" ht="73.95" customHeight="1" x14ac:dyDescent="0.3">
      <c r="A5" s="7">
        <v>1</v>
      </c>
      <c r="B5" s="6" t="s">
        <v>86</v>
      </c>
      <c r="C5" s="8" t="s">
        <v>87</v>
      </c>
      <c r="D5" s="10" t="s">
        <v>88</v>
      </c>
      <c r="E5" s="6" t="s">
        <v>89</v>
      </c>
      <c r="F5" s="6" t="s">
        <v>90</v>
      </c>
    </row>
    <row r="6" spans="1:6" ht="73.95" customHeight="1" x14ac:dyDescent="0.3">
      <c r="A6" s="7">
        <v>2</v>
      </c>
      <c r="B6" s="6" t="s">
        <v>86</v>
      </c>
      <c r="C6" s="8" t="s">
        <v>91</v>
      </c>
      <c r="D6" s="10" t="s">
        <v>88</v>
      </c>
      <c r="E6" s="6" t="s">
        <v>92</v>
      </c>
      <c r="F6" s="6" t="s">
        <v>93</v>
      </c>
    </row>
    <row r="7" spans="1:6" ht="73.95" customHeight="1" x14ac:dyDescent="0.3">
      <c r="A7" s="7">
        <v>3</v>
      </c>
      <c r="B7" s="6" t="s">
        <v>86</v>
      </c>
      <c r="C7" s="8" t="s">
        <v>94</v>
      </c>
      <c r="D7" s="11" t="s">
        <v>95</v>
      </c>
      <c r="E7" s="6" t="s">
        <v>96</v>
      </c>
      <c r="F7" s="6" t="s">
        <v>97</v>
      </c>
    </row>
    <row r="8" spans="1:6" ht="73.95" customHeight="1" x14ac:dyDescent="0.3">
      <c r="A8" s="7">
        <v>4</v>
      </c>
      <c r="B8" s="6" t="s">
        <v>86</v>
      </c>
      <c r="C8" s="8" t="s">
        <v>98</v>
      </c>
      <c r="D8" s="11" t="s">
        <v>95</v>
      </c>
      <c r="E8" s="6" t="s">
        <v>99</v>
      </c>
      <c r="F8" s="6" t="s">
        <v>100</v>
      </c>
    </row>
    <row r="9" spans="1:6" ht="73.95" customHeight="1" x14ac:dyDescent="0.3">
      <c r="A9" s="7">
        <v>5</v>
      </c>
      <c r="B9" s="6" t="s">
        <v>86</v>
      </c>
      <c r="C9" s="8" t="s">
        <v>101</v>
      </c>
      <c r="D9" s="13" t="s">
        <v>102</v>
      </c>
      <c r="E9" s="6" t="s">
        <v>103</v>
      </c>
      <c r="F9" s="6" t="s">
        <v>104</v>
      </c>
    </row>
    <row r="10" spans="1:6" ht="73.95" customHeight="1" x14ac:dyDescent="0.3">
      <c r="A10" s="7">
        <v>6</v>
      </c>
      <c r="B10" s="6" t="s">
        <v>105</v>
      </c>
      <c r="C10" s="8" t="s">
        <v>106</v>
      </c>
      <c r="D10" s="10" t="s">
        <v>88</v>
      </c>
      <c r="E10" s="6" t="s">
        <v>107</v>
      </c>
      <c r="F10" s="6" t="s">
        <v>108</v>
      </c>
    </row>
    <row r="11" spans="1:6" ht="73.95" customHeight="1" x14ac:dyDescent="0.3">
      <c r="A11" s="7">
        <v>7</v>
      </c>
      <c r="B11" s="6" t="s">
        <v>105</v>
      </c>
      <c r="C11" s="8" t="s">
        <v>109</v>
      </c>
      <c r="D11" s="13" t="s">
        <v>102</v>
      </c>
      <c r="E11" s="6" t="s">
        <v>110</v>
      </c>
      <c r="F11" s="6" t="s">
        <v>111</v>
      </c>
    </row>
    <row r="12" spans="1:6" ht="73.95" customHeight="1" x14ac:dyDescent="0.3">
      <c r="A12" s="7">
        <v>8</v>
      </c>
      <c r="B12" s="6" t="s">
        <v>105</v>
      </c>
      <c r="C12" s="8" t="s">
        <v>112</v>
      </c>
      <c r="D12" s="11" t="s">
        <v>95</v>
      </c>
      <c r="E12" s="6" t="s">
        <v>113</v>
      </c>
      <c r="F12" s="6" t="s">
        <v>114</v>
      </c>
    </row>
    <row r="13" spans="1:6" ht="73.95" customHeight="1" x14ac:dyDescent="0.3">
      <c r="A13" s="7">
        <v>9</v>
      </c>
      <c r="B13" s="6" t="s">
        <v>115</v>
      </c>
      <c r="C13" s="8" t="s">
        <v>116</v>
      </c>
      <c r="D13" s="10" t="s">
        <v>88</v>
      </c>
      <c r="E13" s="6" t="s">
        <v>117</v>
      </c>
      <c r="F13" s="6" t="s">
        <v>118</v>
      </c>
    </row>
    <row r="14" spans="1:6" ht="73.95" customHeight="1" x14ac:dyDescent="0.3">
      <c r="A14" s="7">
        <v>10</v>
      </c>
      <c r="B14" s="6" t="s">
        <v>115</v>
      </c>
      <c r="C14" s="8" t="s">
        <v>119</v>
      </c>
      <c r="D14" s="11" t="s">
        <v>95</v>
      </c>
      <c r="E14" s="6" t="s">
        <v>120</v>
      </c>
      <c r="F14" s="6" t="s">
        <v>121</v>
      </c>
    </row>
    <row r="15" spans="1:6" ht="73.95" customHeight="1" x14ac:dyDescent="0.3">
      <c r="A15" s="7">
        <v>11</v>
      </c>
      <c r="B15" s="6" t="s">
        <v>115</v>
      </c>
      <c r="C15" s="8" t="s">
        <v>122</v>
      </c>
      <c r="D15" s="11" t="s">
        <v>95</v>
      </c>
      <c r="E15" s="6" t="s">
        <v>123</v>
      </c>
      <c r="F15" s="6" t="s">
        <v>124</v>
      </c>
    </row>
    <row r="16" spans="1:6" ht="73.95" customHeight="1" x14ac:dyDescent="0.3">
      <c r="A16" s="7">
        <v>12</v>
      </c>
      <c r="B16" s="6" t="s">
        <v>105</v>
      </c>
      <c r="C16" s="8" t="s">
        <v>125</v>
      </c>
      <c r="D16" s="9" t="s">
        <v>126</v>
      </c>
      <c r="E16" s="6" t="s">
        <v>127</v>
      </c>
      <c r="F16" s="6" t="s">
        <v>128</v>
      </c>
    </row>
    <row r="18" spans="2:3" x14ac:dyDescent="0.3">
      <c r="B18" s="12" t="s">
        <v>129</v>
      </c>
    </row>
    <row r="19" spans="2:3" x14ac:dyDescent="0.3">
      <c r="B19" s="1" t="s">
        <v>88</v>
      </c>
      <c r="C19" s="4">
        <f>COUNTIF($D$5:$D$16,"High")</f>
        <v>4</v>
      </c>
    </row>
    <row r="20" spans="2:3" x14ac:dyDescent="0.3">
      <c r="B20" s="1" t="s">
        <v>95</v>
      </c>
      <c r="C20" s="4">
        <f>COUNTIF($D$5:$D$16,"Medium")</f>
        <v>5</v>
      </c>
    </row>
    <row r="21" spans="2:3" x14ac:dyDescent="0.3">
      <c r="B21" s="1" t="s">
        <v>102</v>
      </c>
      <c r="C21" s="4">
        <f>COUNTIF($D$5:$D$16,"Low")</f>
        <v>2</v>
      </c>
    </row>
    <row r="22" spans="2:3" x14ac:dyDescent="0.3">
      <c r="B22" s="1" t="s">
        <v>126</v>
      </c>
      <c r="C22" s="4">
        <f>COUNTIF($D$5:$D$16,"Closed")</f>
        <v>1</v>
      </c>
    </row>
  </sheetData>
  <autoFilter ref="A4:F16" xr:uid="{E4A81395-1545-4B5D-AB4A-365B3CD46827}"/>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45E741-0F10-45E2-B3D6-F67C5EFB6B82}">
  <dimension ref="A1:E13"/>
  <sheetViews>
    <sheetView workbookViewId="0"/>
  </sheetViews>
  <sheetFormatPr defaultRowHeight="14.4" x14ac:dyDescent="0.3"/>
  <cols>
    <col min="1" max="1" width="6.77734375" customWidth="1"/>
    <col min="2" max="2" width="44.77734375" customWidth="1"/>
    <col min="3" max="3" width="48.77734375" customWidth="1"/>
    <col min="4" max="4" width="22.77734375" customWidth="1"/>
    <col min="5" max="5" width="96.77734375" customWidth="1"/>
  </cols>
  <sheetData>
    <row r="1" spans="1:5" ht="17.399999999999999" x14ac:dyDescent="0.3">
      <c r="A1" s="2" t="s">
        <v>130</v>
      </c>
    </row>
    <row r="2" spans="1:5" x14ac:dyDescent="0.3">
      <c r="A2" s="3" t="s">
        <v>131</v>
      </c>
    </row>
    <row r="4" spans="1:5" ht="30" customHeight="1" x14ac:dyDescent="0.3">
      <c r="A4" s="5" t="s">
        <v>2</v>
      </c>
      <c r="B4" s="5" t="s">
        <v>132</v>
      </c>
      <c r="C4" s="5" t="s">
        <v>133</v>
      </c>
      <c r="D4" s="5" t="s">
        <v>134</v>
      </c>
      <c r="E4" s="5" t="s">
        <v>135</v>
      </c>
    </row>
    <row r="5" spans="1:5" ht="79.95" customHeight="1" x14ac:dyDescent="0.3">
      <c r="A5" s="7">
        <v>1</v>
      </c>
      <c r="B5" s="8" t="s">
        <v>136</v>
      </c>
      <c r="C5" s="6" t="s">
        <v>137</v>
      </c>
      <c r="D5" s="6" t="s">
        <v>138</v>
      </c>
      <c r="E5" s="6" t="s">
        <v>139</v>
      </c>
    </row>
    <row r="6" spans="1:5" ht="79.95" customHeight="1" x14ac:dyDescent="0.3">
      <c r="A6" s="7">
        <v>2</v>
      </c>
      <c r="B6" s="8" t="s">
        <v>136</v>
      </c>
      <c r="C6" s="6" t="s">
        <v>140</v>
      </c>
      <c r="D6" s="6" t="s">
        <v>138</v>
      </c>
      <c r="E6" s="6" t="s">
        <v>141</v>
      </c>
    </row>
    <row r="7" spans="1:5" ht="79.95" customHeight="1" x14ac:dyDescent="0.3">
      <c r="A7" s="7">
        <v>3</v>
      </c>
      <c r="B7" s="8" t="s">
        <v>136</v>
      </c>
      <c r="C7" s="6" t="s">
        <v>142</v>
      </c>
      <c r="D7" s="6" t="s">
        <v>138</v>
      </c>
      <c r="E7" s="6" t="s">
        <v>143</v>
      </c>
    </row>
    <row r="8" spans="1:5" ht="79.95" customHeight="1" x14ac:dyDescent="0.3">
      <c r="A8" s="7">
        <v>4</v>
      </c>
      <c r="B8" s="8" t="s">
        <v>136</v>
      </c>
      <c r="C8" s="6" t="s">
        <v>144</v>
      </c>
      <c r="D8" s="6" t="s">
        <v>138</v>
      </c>
      <c r="E8" s="6" t="s">
        <v>145</v>
      </c>
    </row>
    <row r="9" spans="1:5" ht="79.95" customHeight="1" x14ac:dyDescent="0.3">
      <c r="A9" s="7">
        <v>5</v>
      </c>
      <c r="B9" s="8" t="s">
        <v>146</v>
      </c>
      <c r="C9" s="6" t="s">
        <v>147</v>
      </c>
      <c r="D9" s="6" t="s">
        <v>148</v>
      </c>
      <c r="E9" s="6" t="s">
        <v>149</v>
      </c>
    </row>
    <row r="10" spans="1:5" ht="79.95" customHeight="1" x14ac:dyDescent="0.3">
      <c r="A10" s="7">
        <v>6</v>
      </c>
      <c r="B10" s="8" t="s">
        <v>150</v>
      </c>
      <c r="C10" s="6" t="s">
        <v>151</v>
      </c>
      <c r="D10" s="6" t="s">
        <v>152</v>
      </c>
      <c r="E10" s="6" t="s">
        <v>153</v>
      </c>
    </row>
    <row r="11" spans="1:5" ht="79.95" customHeight="1" x14ac:dyDescent="0.3">
      <c r="A11" s="7">
        <v>7</v>
      </c>
      <c r="B11" s="8" t="s">
        <v>154</v>
      </c>
      <c r="C11" s="6" t="s">
        <v>155</v>
      </c>
      <c r="D11" s="6" t="s">
        <v>156</v>
      </c>
      <c r="E11" s="6" t="s">
        <v>157</v>
      </c>
    </row>
    <row r="12" spans="1:5" ht="79.95" customHeight="1" x14ac:dyDescent="0.3">
      <c r="A12" s="7">
        <v>8</v>
      </c>
      <c r="B12" s="8" t="s">
        <v>158</v>
      </c>
      <c r="C12" s="6" t="s">
        <v>159</v>
      </c>
      <c r="D12" s="6" t="s">
        <v>160</v>
      </c>
      <c r="E12" s="6" t="s">
        <v>161</v>
      </c>
    </row>
    <row r="13" spans="1:5" ht="79.95" customHeight="1" x14ac:dyDescent="0.3">
      <c r="A13" s="7">
        <v>9</v>
      </c>
      <c r="B13" s="8" t="s">
        <v>162</v>
      </c>
      <c r="C13" s="6" t="s">
        <v>163</v>
      </c>
      <c r="D13" s="6" t="s">
        <v>164</v>
      </c>
      <c r="E13" s="6" t="s">
        <v>165</v>
      </c>
    </row>
  </sheetData>
  <autoFilter ref="A4:E13" xr:uid="{3A45E741-0F10-45E2-B3D6-F67C5EFB6B8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API Status</vt:lpstr>
      <vt:lpstr>Open Items</vt:lpstr>
      <vt:lpstr>Database Fixes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Acer</cp:lastModifiedBy>
  <dcterms:created xsi:type="dcterms:W3CDTF">2026-09-19T07:56:24Z</dcterms:created>
  <dcterms:modified xsi:type="dcterms:W3CDTF">2026-09-19T07:57:48Z</dcterms:modified>
</cp:coreProperties>
</file>